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17"/>
  <workbookPr/>
  <xr:revisionPtr revIDLastSave="5" documentId="11_EDA3904485C09534633F523FED196FCA8A4C5C99" xr6:coauthVersionLast="47" xr6:coauthVersionMax="47" xr10:uidLastSave="{A75A24E6-156D-404F-86B4-B1332B5D117E}"/>
  <bookViews>
    <workbookView xWindow="0" yWindow="0" windowWidth="16384" windowHeight="8192" tabRatio="500" firstSheet="6" activeTab="6" xr2:uid="{00000000-000D-0000-FFFF-FFFF00000000}"/>
  </bookViews>
  <sheets>
    <sheet name="PlatformTypes" sheetId="1" r:id="rId1"/>
    <sheet name="ObservableProperties" sheetId="2" r:id="rId2"/>
    <sheet name="Platforms" sheetId="3" r:id="rId3"/>
    <sheet name="Sensors" sheetId="4" r:id="rId4"/>
    <sheet name="1_StateTypes" sheetId="5" r:id="rId5"/>
    <sheet name="1_StateTypeCausality" sheetId="6" r:id="rId6"/>
    <sheet name="2_EventStateMapping" sheetId="7" r:id="rId7"/>
    <sheet name="SignalProperties" sheetId="8" r:id="rId8"/>
    <sheet name="Sheet1" sheetId="9" r:id="rId9"/>
    <sheet name="Sheet2" sheetId="10" r:id="rId10"/>
    <sheet name="Sheet3" sheetId="11" r:id="rId11"/>
  </sheets>
  <definedNames>
    <definedName name="EventTypes">Sheet2!$A$12:$B$14</definedName>
    <definedName name="Overshoot_Parameters">Sheet2!$B$13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1" l="1" a="1"/>
  <c r="G12" i="11"/>
  <c r="K12" i="11" l="1"/>
  <c r="J12" i="11"/>
  <c r="I12" i="11"/>
  <c r="H1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D1" authorId="0" shapeId="0" xr:uid="{00000000-0006-0000-0400-000001000000}">
      <text>
        <r>
          <rPr>
            <sz val="10"/>
            <rFont val="Arial"/>
            <family val="2"/>
          </rPr>
          <t xml:space="preserve">[Threaded comment]
</t>
        </r>
        <r>
          <rPr>
            <sz val="10"/>
            <color rgb="FF000000"/>
            <rFont val="Arial"/>
            <family val="2"/>
            <charset val="1"/>
          </rPr>
          <t xml:space="preserve">
Your version of Excel allows you to read this threaded comment; however, any edits to it will get removed if the file is opened in a newer version of Excel. Learn more: https://go.microsoft.com/fwlink/?linkid=870924
Comment:
    every other states has be connected to starter state through some causal relations (can be indirect)
Reply:
    this is important to mark the first step in the method.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F1" authorId="0" shapeId="0" xr:uid="{00000000-0006-0000-05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this needs to be extended by @muhammad.bilal@tuwien.ac.at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Unbekannter Autor</author>
  </authors>
  <commentList>
    <comment ref="A1" authorId="0" shapeId="0" xr:uid="{00000000-0006-0000-0600-000001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Priorities
Prio1
Prio2
Prio3
Prio4
</t>
        </r>
      </text>
    </comment>
    <comment ref="F1" authorId="0" shapeId="0" xr:uid="{00000000-0006-0000-0600-000002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@TU: please check and extend if necessary</t>
        </r>
      </text>
    </comment>
  </commentList>
</comments>
</file>

<file path=xl/sharedStrings.xml><?xml version="1.0" encoding="utf-8"?>
<sst xmlns="http://schemas.openxmlformats.org/spreadsheetml/2006/main" count="195" uniqueCount="105">
  <si>
    <t>PlatformType</t>
  </si>
  <si>
    <t>subClassOf_PlatformType</t>
  </si>
  <si>
    <t>LightSource</t>
  </si>
  <si>
    <t>ObservableProperty</t>
  </si>
  <si>
    <t>Energy</t>
  </si>
  <si>
    <t>Temperature</t>
  </si>
  <si>
    <t>Platform</t>
  </si>
  <si>
    <t>hostedBy_Platform</t>
  </si>
  <si>
    <t>LightSource1</t>
  </si>
  <si>
    <t>Sensor</t>
  </si>
  <si>
    <t>observes_ObservableProperty</t>
  </si>
  <si>
    <t>TimeseriesId</t>
  </si>
  <si>
    <t>Energy_LightSource1</t>
  </si>
  <si>
    <t>Not part of the template (see demo instantiation)</t>
  </si>
  <si>
    <t>Temp_LightSource1</t>
  </si>
  <si>
    <t>StateType</t>
  </si>
  <si>
    <t>associatedObservableProperty</t>
  </si>
  <si>
    <t>associatedPlatformType</t>
  </si>
  <si>
    <t>isTriggerState</t>
  </si>
  <si>
    <t>Description</t>
  </si>
  <si>
    <t>LightSource_Hot</t>
  </si>
  <si>
    <t>TRUE</t>
  </si>
  <si>
    <t>LightSource is hot</t>
  </si>
  <si>
    <t>LightSource_HighEnergy</t>
  </si>
  <si>
    <t>FALSE</t>
  </si>
  <si>
    <t>LightSource consumes much Energy</t>
  </si>
  <si>
    <t>Number</t>
  </si>
  <si>
    <t>StateType_cause</t>
  </si>
  <si>
    <t>causalRelation</t>
  </si>
  <si>
    <t>temporalRelation</t>
  </si>
  <si>
    <t>topologicalRelation</t>
  </si>
  <si>
    <t>StateType_effect</t>
  </si>
  <si>
    <t>Justification/Description</t>
  </si>
  <si>
    <t>causes</t>
  </si>
  <si>
    <t>overlaps</t>
  </si>
  <si>
    <t>samePlatform</t>
  </si>
  <si>
    <t>High energy consumption can cause high temperatures</t>
  </si>
  <si>
    <t>EventType</t>
  </si>
  <si>
    <t>StateType_starts</t>
  </si>
  <si>
    <t>StateType_ends</t>
  </si>
  <si>
    <t>Monitored Platform</t>
  </si>
  <si>
    <t>Monitored ObservableProperty</t>
  </si>
  <si>
    <t>Signal Property</t>
  </si>
  <si>
    <t>Parameter 1</t>
  </si>
  <si>
    <t>Parameter 2</t>
  </si>
  <si>
    <t>Parameter 3</t>
  </si>
  <si>
    <t>Name</t>
  </si>
  <si>
    <t>Type</t>
  </si>
  <si>
    <t>Value or Observable Property</t>
  </si>
  <si>
    <t>Hot_Start</t>
  </si>
  <si>
    <t>Overshoot</t>
  </si>
  <si>
    <t>threshold</t>
  </si>
  <si>
    <t>LiteralValue</t>
  </si>
  <si>
    <t>Hot_End</t>
  </si>
  <si>
    <t>Undershoot</t>
  </si>
  <si>
    <t>HighEnergy_Start</t>
  </si>
  <si>
    <t>HighEnergy_End</t>
  </si>
  <si>
    <t>SignalProperty</t>
  </si>
  <si>
    <t>Parameter1</t>
  </si>
  <si>
    <t>Parameter2</t>
  </si>
  <si>
    <t>Parameter3</t>
  </si>
  <si>
    <t>Parameter4</t>
  </si>
  <si>
    <t>Parameter5</t>
  </si>
  <si>
    <t>Parameter6</t>
  </si>
  <si>
    <t>...</t>
  </si>
  <si>
    <t>overshoot_margin</t>
  </si>
  <si>
    <t>overshoot_interval</t>
  </si>
  <si>
    <t>undershoot_margin</t>
  </si>
  <si>
    <t>undershoot_interval</t>
  </si>
  <si>
    <t>OutOfBounds</t>
  </si>
  <si>
    <t>upper_threshold</t>
  </si>
  <si>
    <t>upper_threshold_margin</t>
  </si>
  <si>
    <t>upper_threshold_interval</t>
  </si>
  <si>
    <t>lower_threshold</t>
  </si>
  <si>
    <t>lower_threshold_margin</t>
  </si>
  <si>
    <t>lower_threshold_interval</t>
  </si>
  <si>
    <t>WithinBounds</t>
  </si>
  <si>
    <t>Spike</t>
  </si>
  <si>
    <t>amplitude1</t>
  </si>
  <si>
    <t>amplitude2</t>
  </si>
  <si>
    <t>slope1</t>
  </si>
  <si>
    <t>slope2</t>
  </si>
  <si>
    <t>width</t>
  </si>
  <si>
    <t>RiseTime</t>
  </si>
  <si>
    <t>delta</t>
  </si>
  <si>
    <t>rise_time</t>
  </si>
  <si>
    <t>FallTime</t>
  </si>
  <si>
    <t>fall_time</t>
  </si>
  <si>
    <t>StableTime</t>
  </si>
  <si>
    <t>maximum_delta</t>
  </si>
  <si>
    <t>stable_time</t>
  </si>
  <si>
    <t>CustomDefinition</t>
  </si>
  <si>
    <t>implemented_in</t>
  </si>
  <si>
    <t>s_target</t>
  </si>
  <si>
    <t>overshoot_value</t>
  </si>
  <si>
    <t>Parameter Types</t>
  </si>
  <si>
    <t>fixed value</t>
  </si>
  <si>
    <t>sensor value</t>
  </si>
  <si>
    <t>Define your events here:</t>
  </si>
  <si>
    <t>event type</t>
  </si>
  <si>
    <t>Value</t>
  </si>
  <si>
    <t>{"s_target"\"overshoot_interval"\"overshoot_value"}</t>
  </si>
  <si>
    <t>Parameters</t>
  </si>
  <si>
    <t>amplitude1, amplitude2, slope1, slope2, width</t>
  </si>
  <si>
    <t>Paramters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</si>
</sst>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WAHR&quot;;&quot;WAHR&quot;;&quot;FALSCH&quot;"/>
  </numFmts>
  <fonts count="6">
    <font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name val="Arial"/>
      <family val="2"/>
    </font>
    <font>
      <sz val="10"/>
      <color rgb="FF000000"/>
      <name val="Arial"/>
      <family val="2"/>
      <charset val="1"/>
    </font>
    <font>
      <sz val="11"/>
      <color theme="2" tint="-0.249977111117893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68871120334488"/>
        <bgColor rgb="FFCCCCFF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/>
    <xf numFmtId="164" fontId="0" fillId="0" borderId="0" xfId="0" applyNumberFormat="1"/>
    <xf numFmtId="49" fontId="0" fillId="0" borderId="0" xfId="0" applyNumberFormat="1"/>
    <xf numFmtId="49" fontId="0" fillId="2" borderId="0" xfId="0" applyNumberFormat="1" applyFill="1"/>
    <xf numFmtId="0" fontId="2" fillId="0" borderId="1" xfId="0" applyFont="1" applyBorder="1"/>
    <xf numFmtId="0" fontId="2" fillId="0" borderId="3" xfId="0" applyFont="1" applyBorder="1"/>
    <xf numFmtId="0" fontId="0" fillId="0" borderId="1" xfId="0" applyBorder="1"/>
    <xf numFmtId="0" fontId="0" fillId="0" borderId="3" xfId="0" applyBorder="1" applyAlignment="1">
      <alignment horizontal="left"/>
    </xf>
    <xf numFmtId="0" fontId="5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B5"/>
  <sheetViews>
    <sheetView zoomScale="120" zoomScaleNormal="120" workbookViewId="0">
      <selection activeCell="A3" activeCellId="1" sqref="E5:E6 A3"/>
    </sheetView>
  </sheetViews>
  <sheetFormatPr defaultColWidth="8.85546875" defaultRowHeight="15"/>
  <cols>
    <col min="1" max="1" width="15.7109375" customWidth="1"/>
    <col min="2" max="2" width="23.42578125" customWidth="1"/>
  </cols>
  <sheetData>
    <row r="1" spans="1:2" ht="18.75" customHeight="1">
      <c r="A1" s="4" t="s">
        <v>0</v>
      </c>
      <c r="B1" s="4" t="s">
        <v>1</v>
      </c>
    </row>
    <row r="2" spans="1:2" ht="18.75" customHeight="1">
      <c r="A2" t="s">
        <v>2</v>
      </c>
    </row>
    <row r="3" spans="1:2" ht="18.75" customHeight="1"/>
    <row r="4" spans="1:2" ht="18.75" customHeight="1"/>
    <row r="5" spans="1:2" ht="18.75" customHeight="1"/>
  </sheetData>
  <dataValidations count="1">
    <dataValidation type="list" allowBlank="1" showInputMessage="1" showErrorMessage="1" sqref="B1:B1002" xr:uid="{00000000-0002-0000-0000-000000000000}">
      <formula1>$A:$A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A3"/>
  <sheetViews>
    <sheetView zoomScaleNormal="100" workbookViewId="0">
      <selection activeCell="A2" activeCellId="1" sqref="E5:E6 A2"/>
    </sheetView>
  </sheetViews>
  <sheetFormatPr defaultColWidth="10.7109375" defaultRowHeight="15"/>
  <cols>
    <col min="1" max="1" width="16.85546875" customWidth="1"/>
  </cols>
  <sheetData>
    <row r="1" spans="1:1">
      <c r="A1" s="4" t="s">
        <v>3</v>
      </c>
    </row>
    <row r="2" spans="1:1">
      <c r="A2" t="s">
        <v>4</v>
      </c>
    </row>
    <row r="3" spans="1:1">
      <c r="A3" t="s">
        <v>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5E0B4"/>
  </sheetPr>
  <dimension ref="A1:C15"/>
  <sheetViews>
    <sheetView zoomScale="120" zoomScaleNormal="120" workbookViewId="0">
      <selection activeCell="C8" activeCellId="1" sqref="E5:E6 C8"/>
    </sheetView>
  </sheetViews>
  <sheetFormatPr defaultColWidth="8.85546875" defaultRowHeight="15"/>
  <cols>
    <col min="1" max="1" width="16.42578125" customWidth="1"/>
    <col min="2" max="2" width="11.42578125" customWidth="1"/>
    <col min="3" max="3" width="15.85546875" customWidth="1"/>
  </cols>
  <sheetData>
    <row r="1" spans="1:3" ht="18.75" customHeight="1">
      <c r="A1" s="4" t="s">
        <v>6</v>
      </c>
      <c r="B1" s="4" t="s">
        <v>0</v>
      </c>
      <c r="C1" s="4" t="s">
        <v>7</v>
      </c>
    </row>
    <row r="2" spans="1:3" ht="18.75" customHeight="1">
      <c r="A2" t="s">
        <v>8</v>
      </c>
      <c r="B2" t="s">
        <v>2</v>
      </c>
    </row>
    <row r="3" spans="1:3">
      <c r="C3" s="5"/>
    </row>
    <row r="4" spans="1:3">
      <c r="C4" s="5"/>
    </row>
    <row r="5" spans="1:3">
      <c r="C5" s="5"/>
    </row>
    <row r="6" spans="1:3">
      <c r="C6" s="5"/>
    </row>
    <row r="7" spans="1:3">
      <c r="C7" s="5"/>
    </row>
    <row r="8" spans="1:3">
      <c r="C8" s="5"/>
    </row>
    <row r="9" spans="1:3">
      <c r="C9" s="5"/>
    </row>
    <row r="10" spans="1:3">
      <c r="C10" s="5"/>
    </row>
    <row r="14" spans="1:3" ht="18.75" customHeight="1"/>
    <row r="15" spans="1:3">
      <c r="A15" s="5"/>
    </row>
  </sheetData>
  <dataValidations count="1">
    <dataValidation type="list" allowBlank="1" showInputMessage="1" showErrorMessage="1" sqref="C1:C1002" xr:uid="{00000000-0002-0000-0200-000000000000}">
      <formula1>$A:$A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PlatformTypes!$A:$A</xm:f>
          </x14:formula1>
          <x14:formula2>
            <xm:f>0</xm:f>
          </x14:formula2>
          <xm:sqref>B1:B1002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E0B4"/>
  </sheetPr>
  <dimension ref="A1:D20"/>
  <sheetViews>
    <sheetView zoomScale="120" zoomScaleNormal="120" workbookViewId="0">
      <selection activeCell="C11" activeCellId="1" sqref="E5:E6 C11"/>
    </sheetView>
  </sheetViews>
  <sheetFormatPr defaultColWidth="8.85546875" defaultRowHeight="15"/>
  <cols>
    <col min="1" max="1" width="30.85546875" customWidth="1"/>
    <col min="2" max="2" width="18.42578125" customWidth="1"/>
    <col min="3" max="3" width="28.7109375" customWidth="1"/>
    <col min="4" max="4" width="58.5703125" customWidth="1"/>
  </cols>
  <sheetData>
    <row r="1" spans="1:4" ht="19.5" customHeight="1">
      <c r="A1" s="4" t="s">
        <v>9</v>
      </c>
      <c r="B1" s="4" t="s">
        <v>7</v>
      </c>
      <c r="C1" s="4" t="s">
        <v>10</v>
      </c>
      <c r="D1" s="6" t="s">
        <v>11</v>
      </c>
    </row>
    <row r="2" spans="1:4" ht="19.5" customHeight="1">
      <c r="A2" t="s">
        <v>12</v>
      </c>
      <c r="B2" s="5" t="s">
        <v>8</v>
      </c>
      <c r="C2" t="s">
        <v>4</v>
      </c>
      <c r="D2" t="s">
        <v>13</v>
      </c>
    </row>
    <row r="3" spans="1:4" ht="19.5" customHeight="1">
      <c r="A3" t="s">
        <v>14</v>
      </c>
      <c r="B3" s="5" t="s">
        <v>8</v>
      </c>
      <c r="C3" t="s">
        <v>5</v>
      </c>
      <c r="D3" t="s">
        <v>13</v>
      </c>
    </row>
    <row r="4" spans="1:4" ht="19.5" customHeight="1"/>
    <row r="5" spans="1:4" ht="19.5" customHeight="1"/>
    <row r="20" ht="19.5" customHeight="1"/>
  </sheetData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Platforms!$A:$A</xm:f>
          </x14:formula1>
          <x14:formula2>
            <xm:f>0</xm:f>
          </x14:formula2>
          <xm:sqref>B1:B3 B21:B1003</xm:sqref>
        </x14:dataValidation>
        <x14:dataValidation type="list" allowBlank="1" showInputMessage="1" showErrorMessage="1" xr:uid="{00000000-0002-0000-0300-000001000000}">
          <x14:formula1>
            <xm:f>ObservableProperties!$A:$A</xm:f>
          </x14:formula1>
          <x14:formula2>
            <xm:f>0</xm:f>
          </x14:formula2>
          <xm:sqref>C1 C3 C21:C1003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E12"/>
  <sheetViews>
    <sheetView topLeftCell="B1" zoomScale="131" zoomScaleNormal="131" workbookViewId="0">
      <selection activeCell="B3" activeCellId="1" sqref="E5:E6 B3"/>
    </sheetView>
  </sheetViews>
  <sheetFormatPr defaultColWidth="8.85546875" defaultRowHeight="15"/>
  <cols>
    <col min="1" max="3" width="30.140625" customWidth="1"/>
    <col min="4" max="4" width="20.5703125" customWidth="1"/>
    <col min="5" max="5" width="60.28515625" customWidth="1"/>
  </cols>
  <sheetData>
    <row r="1" spans="1:5" ht="18.75" customHeight="1">
      <c r="A1" s="4" t="s">
        <v>15</v>
      </c>
      <c r="B1" s="4" t="s">
        <v>16</v>
      </c>
      <c r="C1" s="4" t="s">
        <v>17</v>
      </c>
      <c r="D1" s="6" t="s">
        <v>18</v>
      </c>
      <c r="E1" s="6" t="s">
        <v>19</v>
      </c>
    </row>
    <row r="2" spans="1:5" ht="18.75" customHeight="1">
      <c r="A2" t="s">
        <v>20</v>
      </c>
      <c r="B2" t="s">
        <v>5</v>
      </c>
      <c r="C2" t="s">
        <v>2</v>
      </c>
      <c r="D2" s="7" t="s">
        <v>21</v>
      </c>
      <c r="E2" t="s">
        <v>22</v>
      </c>
    </row>
    <row r="3" spans="1:5" ht="18.75" customHeight="1">
      <c r="A3" t="s">
        <v>23</v>
      </c>
      <c r="B3" t="s">
        <v>4</v>
      </c>
      <c r="C3" t="s">
        <v>2</v>
      </c>
      <c r="D3" s="7" t="s">
        <v>24</v>
      </c>
      <c r="E3" t="s">
        <v>25</v>
      </c>
    </row>
    <row r="4" spans="1:5" ht="18.75" customHeight="1">
      <c r="D4" s="7"/>
    </row>
    <row r="5" spans="1:5" ht="18.75" customHeight="1">
      <c r="D5" s="7"/>
    </row>
    <row r="6" spans="1:5" ht="18.75" customHeight="1">
      <c r="D6" s="7"/>
    </row>
    <row r="7" spans="1:5">
      <c r="D7" s="7"/>
    </row>
    <row r="8" spans="1:5" ht="18.75" customHeight="1">
      <c r="D8" s="7"/>
    </row>
    <row r="9" spans="1:5">
      <c r="D9" s="7"/>
    </row>
    <row r="10" spans="1:5" ht="18.75" customHeight="1">
      <c r="D10" s="7"/>
    </row>
    <row r="11" spans="1:5" ht="18.75" customHeight="1">
      <c r="D11" s="7"/>
    </row>
    <row r="12" spans="1:5" ht="18.75" customHeight="1">
      <c r="D12" s="7"/>
    </row>
  </sheetData>
  <dataValidations count="1">
    <dataValidation type="list" allowBlank="1" showInputMessage="1" showErrorMessage="1" sqref="D1:D1003" xr:uid="{00000000-0002-0000-0400-000000000000}">
      <formula1>"TRUE,FALSE"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1000000}">
          <x14:formula1>
            <xm:f>ObservableProperties!$A:$A</xm:f>
          </x14:formula1>
          <x14:formula2>
            <xm:f>0</xm:f>
          </x14:formula2>
          <xm:sqref>B2 B4:B1003</xm:sqref>
        </x14:dataValidation>
        <x14:dataValidation type="list" allowBlank="1" showInputMessage="1" showErrorMessage="1" xr:uid="{00000000-0002-0000-0400-000002000000}">
          <x14:formula1>
            <xm:f>PlatformTypes!$A:$A</xm:f>
          </x14:formula1>
          <x14:formula2>
            <xm:f>0</xm:f>
          </x14:formula2>
          <xm:sqref>C1:C1003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K1048576"/>
  <sheetViews>
    <sheetView topLeftCell="B1" zoomScale="120" zoomScaleNormal="120" workbookViewId="0">
      <selection activeCell="E17" activeCellId="1" sqref="E5:E6 E17"/>
    </sheetView>
  </sheetViews>
  <sheetFormatPr defaultColWidth="8.85546875" defaultRowHeight="15"/>
  <cols>
    <col min="1" max="1" width="8.85546875" style="8"/>
    <col min="2" max="2" width="31" customWidth="1"/>
    <col min="3" max="3" width="14" customWidth="1"/>
    <col min="4" max="4" width="16.7109375" customWidth="1"/>
    <col min="5" max="5" width="18.42578125" customWidth="1"/>
    <col min="6" max="6" width="28" customWidth="1"/>
    <col min="7" max="7" width="42.7109375" customWidth="1"/>
  </cols>
  <sheetData>
    <row r="1" spans="1:11" ht="18.75" customHeight="1">
      <c r="A1" s="8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H1" s="4"/>
      <c r="I1" s="4"/>
      <c r="J1" s="4"/>
      <c r="K1" s="4"/>
    </row>
    <row r="2" spans="1:11" ht="18.75" customHeight="1">
      <c r="A2" s="9">
        <v>1</v>
      </c>
      <c r="B2" t="s">
        <v>23</v>
      </c>
      <c r="C2" t="s">
        <v>33</v>
      </c>
      <c r="D2" t="s">
        <v>34</v>
      </c>
      <c r="E2" t="s">
        <v>35</v>
      </c>
      <c r="F2" t="s">
        <v>20</v>
      </c>
      <c r="G2" t="s">
        <v>36</v>
      </c>
    </row>
    <row r="1048568" ht="12.75"/>
    <row r="1048569" ht="12.75"/>
    <row r="1048570" ht="12.75"/>
    <row r="1048571" ht="12.75"/>
    <row r="1048572" ht="12.75"/>
    <row r="1048573" ht="12.75"/>
    <row r="1048574" ht="12.75"/>
    <row r="1048575" ht="12.75"/>
    <row r="1048576" ht="12.75"/>
  </sheetData>
  <dataValidations count="3">
    <dataValidation type="list" allowBlank="1" showInputMessage="1" showErrorMessage="1" sqref="C1:C1002" xr:uid="{00000000-0002-0000-0500-000000000000}">
      <formula1>"causes,enables,prevents"</formula1>
      <formula2>0</formula2>
    </dataValidation>
    <dataValidation type="list" allowBlank="1" showInputMessage="1" showErrorMessage="1" sqref="D1:D1002" xr:uid="{00000000-0002-0000-0500-000001000000}">
      <formula1>"overlaps,before"</formula1>
      <formula2>0</formula2>
    </dataValidation>
    <dataValidation type="list" allowBlank="1" showInputMessage="1" showErrorMessage="1" sqref="E1:E1002" xr:uid="{00000000-0002-0000-0500-000002000000}">
      <formula1>"parentPlatform,siblingPlatform,samePlatform"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'1_StateTypes'!$A:$A</xm:f>
          </x14:formula1>
          <x14:formula2>
            <xm:f>0</xm:f>
          </x14:formula2>
          <xm:sqref>B1:B1002 F1:F1002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O1048576"/>
  <sheetViews>
    <sheetView tabSelected="1" zoomScale="92" zoomScaleNormal="92" workbookViewId="0">
      <selection activeCell="I12" sqref="I12"/>
    </sheetView>
  </sheetViews>
  <sheetFormatPr defaultColWidth="8.85546875" defaultRowHeight="15"/>
  <cols>
    <col min="1" max="1" width="30.28515625" customWidth="1"/>
    <col min="2" max="2" width="36.42578125" customWidth="1"/>
    <col min="3" max="3" width="33.85546875" customWidth="1"/>
    <col min="4" max="5" width="19.140625" customWidth="1"/>
    <col min="6" max="6" width="24.28515625" customWidth="1"/>
    <col min="7" max="7" width="14.85546875" customWidth="1"/>
    <col min="8" max="8" width="16.140625" customWidth="1"/>
    <col min="9" max="9" width="27.42578125" customWidth="1"/>
    <col min="10" max="10" width="14.85546875" customWidth="1"/>
    <col min="11" max="11" width="12.42578125" customWidth="1"/>
    <col min="12" max="12" width="27.42578125" customWidth="1"/>
    <col min="13" max="13" width="14.85546875" customWidth="1"/>
    <col min="14" max="14" width="11.28515625" customWidth="1"/>
    <col min="15" max="15" width="27.42578125" customWidth="1"/>
  </cols>
  <sheetData>
    <row r="1" spans="1:15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3" t="s">
        <v>43</v>
      </c>
      <c r="H1" s="3"/>
      <c r="I1" s="3"/>
      <c r="J1" s="3" t="s">
        <v>44</v>
      </c>
      <c r="K1" s="3"/>
      <c r="L1" s="3"/>
      <c r="M1" s="2" t="s">
        <v>45</v>
      </c>
      <c r="N1" s="2"/>
      <c r="O1" s="2"/>
    </row>
    <row r="2" spans="1:15">
      <c r="A2" s="6"/>
      <c r="B2" s="6"/>
      <c r="C2" s="6"/>
      <c r="D2" s="6"/>
      <c r="E2" s="6"/>
      <c r="F2" s="6"/>
      <c r="G2" s="10" t="s">
        <v>46</v>
      </c>
      <c r="H2" s="6" t="s">
        <v>47</v>
      </c>
      <c r="I2" s="6" t="s">
        <v>48</v>
      </c>
      <c r="J2" s="10" t="s">
        <v>46</v>
      </c>
      <c r="K2" s="6" t="s">
        <v>47</v>
      </c>
      <c r="L2" s="6" t="s">
        <v>48</v>
      </c>
      <c r="M2" s="10" t="s">
        <v>46</v>
      </c>
      <c r="N2" s="6" t="s">
        <v>47</v>
      </c>
      <c r="O2" s="11" t="s">
        <v>48</v>
      </c>
    </row>
    <row r="3" spans="1:15">
      <c r="A3" t="s">
        <v>49</v>
      </c>
      <c r="B3" t="s">
        <v>20</v>
      </c>
      <c r="D3" t="s">
        <v>2</v>
      </c>
      <c r="E3" t="s">
        <v>5</v>
      </c>
      <c r="F3" t="s">
        <v>50</v>
      </c>
      <c r="G3" s="12" t="s">
        <v>51</v>
      </c>
      <c r="H3" t="s">
        <v>52</v>
      </c>
      <c r="I3" s="5">
        <v>100</v>
      </c>
      <c r="O3" s="13"/>
    </row>
    <row r="4" spans="1:15">
      <c r="A4" t="s">
        <v>53</v>
      </c>
      <c r="C4" t="s">
        <v>20</v>
      </c>
      <c r="D4" t="s">
        <v>2</v>
      </c>
      <c r="E4" t="s">
        <v>5</v>
      </c>
      <c r="F4" t="s">
        <v>54</v>
      </c>
      <c r="G4" s="12" t="s">
        <v>51</v>
      </c>
      <c r="H4" t="s">
        <v>52</v>
      </c>
      <c r="I4" s="5">
        <v>100</v>
      </c>
    </row>
    <row r="5" spans="1:15">
      <c r="A5" t="s">
        <v>55</v>
      </c>
      <c r="B5" t="s">
        <v>23</v>
      </c>
      <c r="D5" t="s">
        <v>2</v>
      </c>
      <c r="E5" t="s">
        <v>4</v>
      </c>
      <c r="F5" t="s">
        <v>50</v>
      </c>
      <c r="G5" s="12" t="s">
        <v>51</v>
      </c>
      <c r="H5" t="s">
        <v>52</v>
      </c>
      <c r="I5" s="5">
        <v>5</v>
      </c>
    </row>
    <row r="6" spans="1:15">
      <c r="A6" t="s">
        <v>56</v>
      </c>
      <c r="C6" t="s">
        <v>23</v>
      </c>
      <c r="D6" t="s">
        <v>2</v>
      </c>
      <c r="E6" t="s">
        <v>4</v>
      </c>
      <c r="F6" t="s">
        <v>54</v>
      </c>
      <c r="G6" s="12" t="s">
        <v>51</v>
      </c>
      <c r="H6" t="s">
        <v>52</v>
      </c>
      <c r="I6" s="5">
        <v>5</v>
      </c>
    </row>
    <row r="7" spans="1:15">
      <c r="J7" s="12"/>
      <c r="L7" s="5"/>
      <c r="M7" s="12"/>
    </row>
    <row r="9" spans="1:15">
      <c r="D9" s="5"/>
    </row>
    <row r="10" spans="1:15">
      <c r="D10" s="5"/>
    </row>
    <row r="11" spans="1:15">
      <c r="B11" s="14"/>
      <c r="D11" s="5"/>
    </row>
    <row r="12" spans="1:15">
      <c r="D12" s="5"/>
    </row>
    <row r="13" spans="1:15">
      <c r="D13" s="5"/>
    </row>
    <row r="14" spans="1:15">
      <c r="D14" s="5"/>
    </row>
    <row r="15" spans="1:15">
      <c r="D15" s="5"/>
    </row>
    <row r="16" spans="1:15">
      <c r="D16" s="5"/>
    </row>
    <row r="17" spans="4:4">
      <c r="D17" s="5"/>
    </row>
    <row r="18" spans="4:4">
      <c r="D18" s="5"/>
    </row>
    <row r="1048553" ht="12.75"/>
    <row r="1048554" ht="12.75"/>
    <row r="1048555" ht="12.75"/>
    <row r="1048556" ht="12.75"/>
    <row r="1048557" ht="12.75"/>
    <row r="1048558" ht="12.75"/>
    <row r="1048559" ht="12.75"/>
    <row r="1048560" ht="12.75"/>
    <row r="1048561" ht="12.75"/>
    <row r="1048562" ht="12.75"/>
    <row r="1048563" ht="12.75"/>
    <row r="1048564" ht="12.75"/>
    <row r="1048565" ht="12.75"/>
    <row r="1048566" ht="12.75"/>
    <row r="1048567" ht="12.75"/>
    <row r="1048568" ht="12.75"/>
    <row r="1048569" ht="12.75"/>
    <row r="1048570" ht="12.75"/>
    <row r="1048571" ht="12.75"/>
    <row r="1048572" ht="12.75"/>
    <row r="1048573" ht="12.75"/>
    <row r="1048574" ht="12.75"/>
    <row r="1048575" ht="12.75"/>
    <row r="1048576" ht="12.75"/>
  </sheetData>
  <mergeCells count="3">
    <mergeCell ref="G1:I1"/>
    <mergeCell ref="J1:L1"/>
    <mergeCell ref="M1:O1"/>
  </mergeCells>
  <dataValidations count="2">
    <dataValidation type="list" allowBlank="1" showInputMessage="1" showErrorMessage="1" sqref="H3:H6 K7 N7" xr:uid="{00000000-0002-0000-0600-000001000000}">
      <formula1>"LiteralValue,SensorValue"</formula1>
      <formula2>0</formula2>
    </dataValidation>
    <dataValidation type="list" allowBlank="1" showInputMessage="1" sqref="O3 D9:D18" xr:uid="{00000000-0002-0000-0600-000002000000}">
      <formula1>IF(#REF!="SensorValue",#REF!)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600-000000000000}">
          <x14:formula1>
            <xm:f>'1_StateTypes'!$A:$A</xm:f>
          </x14:formula1>
          <x14:formula2>
            <xm:f>0</xm:f>
          </x14:formula2>
          <xm:sqref>B1:C6 B9:C1007</xm:sqref>
        </x14:dataValidation>
        <x14:dataValidation type="list" allowBlank="1" showInputMessage="1" showErrorMessage="1" xr:uid="{00000000-0002-0000-0600-000003000000}">
          <x14:formula1>
            <xm:f>_xlfn.XLOOKUP($F25,SignalProperties!$A$2:$A$15,SignalProperties!$B$2:$K$15)</xm:f>
          </x14:formula1>
          <x14:formula2>
            <xm:f>0</xm:f>
          </x14:formula2>
          <xm:sqref>G3:G6 J7 M7</xm:sqref>
        </x14:dataValidation>
        <x14:dataValidation type="list" allowBlank="1" showInputMessage="1" showErrorMessage="1" xr:uid="{00000000-0002-0000-0600-000004000000}">
          <x14:formula1>
            <xm:f>PlatformTypes!$A$2:$A$101</xm:f>
          </x14:formula1>
          <x14:formula2>
            <xm:f>0</xm:f>
          </x14:formula2>
          <xm:sqref>D1:D6 D19:D1007</xm:sqref>
        </x14:dataValidation>
        <x14:dataValidation type="list" allowBlank="1" showInputMessage="1" showErrorMessage="1" xr:uid="{00000000-0002-0000-0600-000005000000}">
          <x14:formula1>
            <xm:f>ObservableProperties!$A:$A</xm:f>
          </x14:formula1>
          <x14:formula2>
            <xm:f>0</xm:f>
          </x14:formula2>
          <xm:sqref>E1:E4 E9:E1007</xm:sqref>
        </x14:dataValidation>
        <x14:dataValidation type="list" allowBlank="1" showInputMessage="1" xr:uid="{00000000-0002-0000-0600-000006000000}">
          <x14:formula1>
            <xm:f>IF(H3="SensorValue",ObservableProperties!$A$2:$A$101,0)</xm:f>
          </x14:formula1>
          <x14:formula2>
            <xm:f>0</xm:f>
          </x14:formula2>
          <xm:sqref>I3:I6 L7</xm:sqref>
        </x14:dataValidation>
        <x14:dataValidation type="list" allowBlank="1" showInputMessage="1" showErrorMessage="1" xr:uid="{00000000-0002-0000-0600-000007000000}">
          <x14:formula1>
            <xm:f>SignalProperties!$A$2:$A$14</xm:f>
          </x14:formula1>
          <x14:formula2>
            <xm:f>0</xm:f>
          </x14:formula2>
          <xm:sqref>F3:F6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"/>
  <sheetViews>
    <sheetView zoomScaleNormal="100" workbookViewId="0">
      <selection activeCell="C20" activeCellId="1" sqref="E5:E6 C20"/>
    </sheetView>
  </sheetViews>
  <sheetFormatPr defaultColWidth="8.7109375" defaultRowHeight="15"/>
  <cols>
    <col min="1" max="1" width="20.140625" customWidth="1"/>
    <col min="2" max="2" width="16.85546875" customWidth="1"/>
    <col min="3" max="3" width="37.140625" customWidth="1"/>
    <col min="4" max="4" width="26.140625" customWidth="1"/>
    <col min="5" max="5" width="14.5703125" customWidth="1"/>
    <col min="6" max="6" width="21.140625" customWidth="1"/>
    <col min="7" max="7" width="21.85546875" customWidth="1"/>
  </cols>
  <sheetData>
    <row r="1" spans="1:8">
      <c r="A1" s="6" t="s">
        <v>57</v>
      </c>
      <c r="B1" s="6" t="s">
        <v>58</v>
      </c>
      <c r="C1" s="6" t="s">
        <v>59</v>
      </c>
      <c r="D1" s="6" t="s">
        <v>60</v>
      </c>
      <c r="E1" s="6" t="s">
        <v>61</v>
      </c>
      <c r="F1" s="6" t="s">
        <v>62</v>
      </c>
      <c r="G1" s="6" t="s">
        <v>63</v>
      </c>
      <c r="H1" s="6" t="s">
        <v>64</v>
      </c>
    </row>
    <row r="2" spans="1:8">
      <c r="A2" t="s">
        <v>50</v>
      </c>
      <c r="B2" t="s">
        <v>51</v>
      </c>
      <c r="C2" t="s">
        <v>65</v>
      </c>
      <c r="D2" t="s">
        <v>66</v>
      </c>
    </row>
    <row r="3" spans="1:8">
      <c r="A3" t="s">
        <v>54</v>
      </c>
      <c r="B3" t="s">
        <v>51</v>
      </c>
      <c r="C3" t="s">
        <v>67</v>
      </c>
      <c r="D3" t="s">
        <v>68</v>
      </c>
    </row>
    <row r="4" spans="1:8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G4" t="s">
        <v>75</v>
      </c>
    </row>
    <row r="5" spans="1:8">
      <c r="A5" t="s">
        <v>76</v>
      </c>
      <c r="B5" t="s">
        <v>70</v>
      </c>
      <c r="C5" t="s">
        <v>71</v>
      </c>
      <c r="D5" t="s">
        <v>72</v>
      </c>
      <c r="E5" t="s">
        <v>73</v>
      </c>
      <c r="F5" t="s">
        <v>74</v>
      </c>
      <c r="G5" t="s">
        <v>75</v>
      </c>
    </row>
    <row r="6" spans="1:8">
      <c r="A6" t="s">
        <v>77</v>
      </c>
      <c r="B6" t="s">
        <v>78</v>
      </c>
      <c r="C6" t="s">
        <v>79</v>
      </c>
      <c r="D6" t="s">
        <v>80</v>
      </c>
      <c r="E6" t="s">
        <v>81</v>
      </c>
      <c r="F6" t="s">
        <v>82</v>
      </c>
    </row>
    <row r="7" spans="1:8">
      <c r="A7" t="s">
        <v>83</v>
      </c>
      <c r="B7" t="s">
        <v>84</v>
      </c>
      <c r="C7" t="s">
        <v>85</v>
      </c>
    </row>
    <row r="8" spans="1:8">
      <c r="A8" t="s">
        <v>86</v>
      </c>
      <c r="B8" t="s">
        <v>84</v>
      </c>
      <c r="C8" t="s">
        <v>87</v>
      </c>
    </row>
    <row r="9" spans="1:8">
      <c r="A9" t="s">
        <v>88</v>
      </c>
      <c r="B9" t="s">
        <v>89</v>
      </c>
      <c r="C9" t="s">
        <v>90</v>
      </c>
    </row>
    <row r="10" spans="1:8">
      <c r="A10" t="s">
        <v>91</v>
      </c>
      <c r="B10" t="s">
        <v>92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zoomScaleNormal="100" workbookViewId="0">
      <selection activeCell="A2" activeCellId="1" sqref="E5:E6 A2"/>
    </sheetView>
  </sheetViews>
  <sheetFormatPr defaultColWidth="8.7109375" defaultRowHeight="15"/>
  <cols>
    <col min="1" max="1" width="12.42578125" customWidth="1"/>
    <col min="2" max="2" width="13.85546875" customWidth="1"/>
    <col min="3" max="3" width="12" customWidth="1"/>
    <col min="4" max="4" width="14.85546875" customWidth="1"/>
    <col min="5" max="5" width="13" customWidth="1"/>
    <col min="6" max="6" width="15" customWidth="1"/>
  </cols>
  <sheetData>
    <row r="1" spans="1:6">
      <c r="A1" t="s">
        <v>37</v>
      </c>
      <c r="B1" t="s">
        <v>43</v>
      </c>
      <c r="C1" t="s">
        <v>44</v>
      </c>
      <c r="D1" t="s">
        <v>45</v>
      </c>
    </row>
    <row r="2" spans="1:6">
      <c r="A2" t="s">
        <v>50</v>
      </c>
      <c r="B2" t="s">
        <v>93</v>
      </c>
      <c r="C2" t="s">
        <v>66</v>
      </c>
      <c r="D2" t="s">
        <v>94</v>
      </c>
    </row>
    <row r="3" spans="1:6">
      <c r="A3" t="s">
        <v>77</v>
      </c>
      <c r="B3" t="s">
        <v>78</v>
      </c>
      <c r="C3" t="s">
        <v>79</v>
      </c>
      <c r="D3" t="s">
        <v>80</v>
      </c>
      <c r="E3" t="s">
        <v>81</v>
      </c>
      <c r="F3" t="s">
        <v>82</v>
      </c>
    </row>
    <row r="10" spans="1:6">
      <c r="A10" t="s">
        <v>95</v>
      </c>
    </row>
    <row r="11" spans="1:6">
      <c r="A11" t="s">
        <v>96</v>
      </c>
    </row>
    <row r="12" spans="1:6">
      <c r="A12" t="s">
        <v>97</v>
      </c>
    </row>
    <row r="21" spans="1:7">
      <c r="A21" t="s">
        <v>98</v>
      </c>
    </row>
    <row r="22" spans="1:7">
      <c r="A22" s="1" t="s">
        <v>99</v>
      </c>
      <c r="B22" s="1" t="s">
        <v>43</v>
      </c>
      <c r="C22" s="1"/>
      <c r="D22" s="1"/>
      <c r="E22" s="1" t="s">
        <v>44</v>
      </c>
      <c r="F22" s="1"/>
      <c r="G22" s="1"/>
    </row>
    <row r="23" spans="1:7">
      <c r="A23" s="1"/>
      <c r="B23" t="s">
        <v>46</v>
      </c>
      <c r="C23" t="s">
        <v>47</v>
      </c>
      <c r="D23" t="s">
        <v>100</v>
      </c>
      <c r="E23" t="s">
        <v>46</v>
      </c>
      <c r="F23" t="s">
        <v>47</v>
      </c>
      <c r="G23" t="s">
        <v>100</v>
      </c>
    </row>
    <row r="24" spans="1:7">
      <c r="A24" t="s">
        <v>50</v>
      </c>
    </row>
    <row r="25" spans="1:7">
      <c r="A25" t="s">
        <v>77</v>
      </c>
    </row>
  </sheetData>
  <mergeCells count="3">
    <mergeCell ref="A22:A23"/>
    <mergeCell ref="B22:D22"/>
    <mergeCell ref="E22:G22"/>
  </mergeCells>
  <dataValidations count="3">
    <dataValidation type="list" allowBlank="1" showInputMessage="1" showErrorMessage="1" sqref="A26:A29" xr:uid="{00000000-0002-0000-0800-000000000000}">
      <formula1>A5:A15</formula1>
      <formula2>0</formula2>
    </dataValidation>
    <dataValidation type="list" allowBlank="1" showInputMessage="1" showErrorMessage="1" sqref="A24:A25" xr:uid="{00000000-0002-0000-0800-000001000000}">
      <formula1>A1:A11</formula1>
      <formula2>0</formula2>
    </dataValidation>
    <dataValidation type="list" allowBlank="1" showInputMessage="1" showErrorMessage="1" sqref="C24" xr:uid="{00000000-0002-0000-0800-000002000000}">
      <formula1>$A$11:$A$12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4"/>
  <sheetViews>
    <sheetView zoomScaleNormal="100" workbookViewId="0">
      <selection activeCell="B4" activeCellId="1" sqref="E5:E6 B4"/>
    </sheetView>
  </sheetViews>
  <sheetFormatPr defaultColWidth="8.7109375" defaultRowHeight="15"/>
  <cols>
    <col min="1" max="1" width="15.28515625" customWidth="1"/>
    <col min="2" max="2" width="29.5703125" customWidth="1"/>
  </cols>
  <sheetData>
    <row r="1" spans="1:2">
      <c r="A1" t="s">
        <v>50</v>
      </c>
      <c r="B1" t="s">
        <v>101</v>
      </c>
    </row>
    <row r="12" spans="1:2">
      <c r="A12" t="s">
        <v>37</v>
      </c>
      <c r="B12" t="s">
        <v>102</v>
      </c>
    </row>
    <row r="13" spans="1:2">
      <c r="A13" t="s">
        <v>50</v>
      </c>
      <c r="B13" t="s">
        <v>101</v>
      </c>
    </row>
    <row r="14" spans="1:2">
      <c r="A14" t="s">
        <v>77</v>
      </c>
      <c r="B14" t="s">
        <v>103</v>
      </c>
    </row>
  </sheetData>
  <dataValidations count="3">
    <dataValidation type="list" allowBlank="1" showInputMessage="1" showErrorMessage="1" sqref="A1:A2" xr:uid="{00000000-0002-0000-0900-000000000000}">
      <formula1>$A$13:$A$14</formula1>
      <formula2>0</formula2>
    </dataValidation>
    <dataValidation type="list" allowBlank="1" showInputMessage="1" showErrorMessage="1" sqref="B1" xr:uid="{00000000-0002-0000-0900-000001000000}">
      <formula1>INDIRECT(A1 &amp; "_Parameters")</formula1>
      <formula2>0</formula2>
    </dataValidation>
    <dataValidation type="list" allowBlank="1" showInputMessage="1" showErrorMessage="1" sqref="B3" xr:uid="{00000000-0002-0000-0900-000002000000}">
      <formula1>Overshoot_Parameters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3"/>
  <sheetViews>
    <sheetView zoomScaleNormal="100" workbookViewId="0">
      <selection activeCell="G12" activeCellId="1" sqref="E5:E6 G12"/>
    </sheetView>
  </sheetViews>
  <sheetFormatPr defaultColWidth="8.7109375" defaultRowHeight="15"/>
  <cols>
    <col min="1" max="1" width="13.140625" customWidth="1"/>
    <col min="2" max="2" width="12" customWidth="1"/>
    <col min="3" max="3" width="16.42578125" customWidth="1"/>
    <col min="4" max="4" width="14.85546875" customWidth="1"/>
    <col min="5" max="5" width="14.5703125" customWidth="1"/>
  </cols>
  <sheetData>
    <row r="1" spans="1:11">
      <c r="B1" t="s">
        <v>104</v>
      </c>
    </row>
    <row r="2" spans="1:11">
      <c r="A2" t="s">
        <v>50</v>
      </c>
      <c r="B2" t="s">
        <v>93</v>
      </c>
      <c r="C2" t="s">
        <v>66</v>
      </c>
      <c r="D2" t="s">
        <v>94</v>
      </c>
    </row>
    <row r="3" spans="1:11">
      <c r="A3" t="s">
        <v>77</v>
      </c>
      <c r="B3" t="s">
        <v>78</v>
      </c>
      <c r="C3" t="s">
        <v>79</v>
      </c>
      <c r="D3" t="s">
        <v>80</v>
      </c>
      <c r="E3" t="s">
        <v>81</v>
      </c>
      <c r="F3" t="s">
        <v>82</v>
      </c>
    </row>
    <row r="12" spans="1:11">
      <c r="F12" t="s">
        <v>77</v>
      </c>
      <c r="G12" t="str">
        <f t="array" ref="G12:K12">_xlfn.XLOOKUP(F12,A2:A3,B2:F3)</f>
        <v>amplitude1</v>
      </c>
      <c r="H12" t="str">
        <v>amplitude2</v>
      </c>
      <c r="I12" t="str">
        <v>slope1</v>
      </c>
      <c r="J12" t="str">
        <v>slope2</v>
      </c>
      <c r="K12" t="str">
        <v>width</v>
      </c>
    </row>
    <row r="13" spans="1:11">
      <c r="F13" t="s">
        <v>77</v>
      </c>
      <c r="G13" t="s">
        <v>80</v>
      </c>
    </row>
  </sheetData>
  <dataValidations count="1">
    <dataValidation type="list" allowBlank="1" showInputMessage="1" showErrorMessage="1" sqref="G13" xr:uid="{00000000-0002-0000-0A00-000000000000}">
      <formula1>_xlfn.XLOOKUP(F13,A2:A3,B2:F3)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GrapeCity, Inc.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Schwarzinger, Tobias</cp:lastModifiedBy>
  <cp:revision>21</cp:revision>
  <dcterms:created xsi:type="dcterms:W3CDTF">2024-02-20T09:40:50Z</dcterms:created>
  <dcterms:modified xsi:type="dcterms:W3CDTF">2025-01-07T14:24:24Z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0x010100DE058F8930E0E241B4560415FE1909FD</vt:lpwstr>
  </property>
  <property fmtid="{D5CDD505-2E9C-101B-9397-08002B2CF9AE}" pid="3" name="MediaServiceImageTags">
    <vt:lpwstr/>
  </property>
</Properties>
</file>